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Unit economics" sheetId="2" state="visible" r:id="rId2"/>
    <sheet name="Tier economics" sheetId="3" state="visible" r:id="rId3"/>
    <sheet name="Packs &amp; fees" sheetId="4" state="visible" r:id="rId4"/>
    <sheet name="Benchmarks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00;($#,##0.0000);-"/>
    <numFmt numFmtId="166" formatCode="₹#,##0.00;(₹#,##0.00);-"/>
    <numFmt numFmtId="167" formatCode="$#,##0.00;($#,##0.00);-"/>
    <numFmt numFmtId="168" formatCode="₹#,##0;(₹#,##0);-"/>
  </numFmts>
  <fonts count="15">
    <font>
      <name val="Calibri"/>
      <family val="2"/>
      <color theme="1"/>
      <sz val="11"/>
      <scheme val="minor"/>
    </font>
    <font>
      <name val="Arial"/>
      <b val="1"/>
      <color rgb="000A1220"/>
      <sz val="15"/>
    </font>
    <font>
      <name val="Arial"/>
      <color rgb="005A6B85"/>
      <sz val="9"/>
    </font>
    <font>
      <name val="Arial"/>
      <b val="1"/>
      <color rgb="00FFFFFF"/>
      <sz val="10"/>
    </font>
    <font>
      <name val="Arial"/>
      <b val="1"/>
      <color rgb="001B6DF0"/>
      <sz val="10"/>
    </font>
    <font>
      <name val="Arial"/>
      <color rgb="00000000"/>
      <sz val="10"/>
    </font>
    <font>
      <name val="Arial"/>
      <color rgb="000A1220"/>
      <sz val="10"/>
    </font>
    <font>
      <name val="Arial"/>
      <color rgb="000000FF"/>
      <sz val="10"/>
    </font>
    <font>
      <name val="Arial"/>
      <color rgb="005A6B85"/>
      <sz val="8.5"/>
    </font>
    <font>
      <name val="Arial"/>
      <b val="1"/>
      <color rgb="000A1220"/>
      <sz val="10"/>
    </font>
    <font>
      <name val="Arial"/>
      <b val="1"/>
      <color rgb="001B6DF0"/>
      <sz val="11"/>
    </font>
    <font>
      <name val="Arial"/>
      <b val="1"/>
      <color rgb="000A1220"/>
      <sz val="11"/>
    </font>
    <font>
      <name val="Arial"/>
      <b val="1"/>
      <color rgb="000000FF"/>
      <sz val="11"/>
    </font>
    <font>
      <name val="Arial"/>
      <color rgb="001B6DF0"/>
      <sz val="10"/>
    </font>
    <font>
      <name val="Arial"/>
      <color rgb="005A6B85"/>
      <sz val="8"/>
    </font>
  </fonts>
  <fills count="5">
    <fill>
      <patternFill/>
    </fill>
    <fill>
      <patternFill patternType="gray125"/>
    </fill>
    <fill>
      <patternFill patternType="solid">
        <fgColor rgb="001B6DF0"/>
      </patternFill>
    </fill>
    <fill>
      <patternFill patternType="solid">
        <fgColor rgb="00F6F9F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CE6F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/>
    </xf>
    <xf numFmtId="0" fontId="5" fillId="3" borderId="0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2" fontId="7" fillId="4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  <xf numFmtId="164" fontId="7" fillId="4" borderId="1" applyAlignment="1" pivotButton="0" quotePrefix="0" xfId="0">
      <alignment horizontal="right" vertical="top"/>
    </xf>
    <xf numFmtId="165" fontId="7" fillId="4" borderId="1" applyAlignment="1" pivotButton="0" quotePrefix="0" xfId="0">
      <alignment horizontal="right" vertical="top"/>
    </xf>
    <xf numFmtId="3" fontId="7" fillId="4" borderId="1" applyAlignment="1" pivotButton="0" quotePrefix="0" xfId="0">
      <alignment horizontal="right" vertical="top"/>
    </xf>
    <xf numFmtId="166" fontId="7" fillId="4" borderId="1" applyAlignment="1" pivotButton="0" quotePrefix="0" xfId="0">
      <alignment horizontal="right" vertical="top"/>
    </xf>
    <xf numFmtId="167" fontId="7" fillId="4" borderId="1" applyAlignment="1" pivotButton="0" quotePrefix="0" xfId="0">
      <alignment horizontal="right" vertical="top"/>
    </xf>
    <xf numFmtId="168" fontId="7" fillId="4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top"/>
    </xf>
    <xf numFmtId="165" fontId="10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horizontal="left" vertical="top"/>
    </xf>
    <xf numFmtId="165" fontId="4" fillId="0" borderId="1" applyAlignment="1" pivotButton="0" quotePrefix="0" xfId="0">
      <alignment horizontal="right" vertical="top"/>
    </xf>
    <xf numFmtId="0" fontId="11" fillId="0" borderId="1" applyAlignment="1" pivotButton="0" quotePrefix="0" xfId="0">
      <alignment horizontal="left" vertical="top"/>
    </xf>
    <xf numFmtId="3" fontId="5" fillId="0" borderId="1" applyAlignment="1" pivotButton="0" quotePrefix="0" xfId="0">
      <alignment horizontal="right" vertical="top"/>
    </xf>
    <xf numFmtId="167" fontId="5" fillId="0" borderId="1" applyAlignment="1" pivotButton="0" quotePrefix="0" xfId="0">
      <alignment horizontal="right" vertical="top"/>
    </xf>
    <xf numFmtId="167" fontId="10" fillId="0" borderId="1" applyAlignment="1" pivotButton="0" quotePrefix="0" xfId="0">
      <alignment horizontal="right" vertical="top"/>
    </xf>
    <xf numFmtId="168" fontId="12" fillId="4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167" fontId="12" fillId="4" borderId="1" applyAlignment="1" pivotButton="0" quotePrefix="0" xfId="0">
      <alignment horizontal="right" vertical="top"/>
    </xf>
    <xf numFmtId="0" fontId="9" fillId="0" borderId="1" applyAlignment="1" pivotButton="0" quotePrefix="0" xfId="0">
      <alignment horizontal="left" vertical="top"/>
    </xf>
    <xf numFmtId="164" fontId="13" fillId="0" borderId="1" applyAlignment="1" pivotButton="0" quotePrefix="0" xfId="0">
      <alignment horizontal="right" vertical="top"/>
    </xf>
    <xf numFmtId="166" fontId="5" fillId="0" borderId="1" applyAlignment="1" pivotButton="0" quotePrefix="0" xfId="0">
      <alignment horizontal="right" vertical="top"/>
    </xf>
    <xf numFmtId="0" fontId="1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66" customWidth="1" min="3" max="3"/>
  </cols>
  <sheetData>
    <row r="1">
      <c r="A1" s="1" t="inlineStr">
        <is>
          <t>Cost &amp; pricing model — assumptions</t>
        </is>
      </c>
    </row>
    <row r="2">
      <c r="A2" s="2" t="inlineStr">
        <is>
          <t>Every yellow cell is an input. Everything on the other sheets is a formula over this one. Lines marked MEASURE are estimates standing in for data you can read out of ai_events and your cloud bill — replace them first.</t>
        </is>
      </c>
    </row>
    <row r="4" ht="30" customHeight="1">
      <c r="A4" s="3" t="inlineStr">
        <is>
          <t>Assumption</t>
        </is>
      </c>
      <c r="B4" s="3" t="inlineStr">
        <is>
          <t>Value</t>
        </is>
      </c>
      <c r="C4" s="3" t="inlineStr">
        <is>
          <t>Source / note</t>
        </is>
      </c>
    </row>
    <row r="5">
      <c r="A5" s="4" t="inlineStr">
        <is>
          <t>§ Currency and tax</t>
        </is>
      </c>
      <c r="B5" s="5" t="inlineStr"/>
      <c r="C5" s="5" t="inlineStr"/>
    </row>
    <row r="6">
      <c r="A6" s="6" t="inlineStr">
        <is>
          <t>USD → INR</t>
        </is>
      </c>
      <c r="B6" s="7" t="n">
        <v>95.59999999999999</v>
      </c>
      <c r="C6" s="8" t="inlineStr">
        <is>
          <t>Spot rate, 30 Aug 2026. Re-check before quoting.</t>
        </is>
      </c>
    </row>
    <row r="7">
      <c r="A7" s="6" t="inlineStr">
        <is>
          <t>GST on Indian invoices</t>
        </is>
      </c>
      <c r="B7" s="9" t="n">
        <v>0.18</v>
      </c>
      <c r="C7" s="8" t="inlineStr">
        <is>
          <t>Pass-through, not cost. All prices below are ex-GST.</t>
        </is>
      </c>
    </row>
    <row r="8">
      <c r="A8" s="4" t="inlineStr">
        <is>
          <t>§ AI — LLM token rates (per 1M tokens, USD)</t>
        </is>
      </c>
      <c r="B8" s="5" t="inlineStr"/>
      <c r="C8" s="5" t="inlineStr"/>
    </row>
    <row r="9">
      <c r="A9" s="6" t="inlineStr">
        <is>
          <t>Workhorse model input</t>
        </is>
      </c>
      <c r="B9" s="10" t="n">
        <v>1</v>
      </c>
      <c r="C9" s="8" t="inlineStr">
        <is>
          <t>Claude Haiku 4.5 — tutor, grading, extraction.</t>
        </is>
      </c>
    </row>
    <row r="10">
      <c r="A10" s="6" t="inlineStr">
        <is>
          <t>Workhorse model output</t>
        </is>
      </c>
      <c r="B10" s="10" t="n">
        <v>5</v>
      </c>
      <c r="C10" s="8" t="inlineStr">
        <is>
          <t>Claude Haiku 4.5.</t>
        </is>
      </c>
    </row>
    <row r="11">
      <c r="A11" s="6" t="inlineStr">
        <is>
          <t>Analysis model input</t>
        </is>
      </c>
      <c r="B11" s="10" t="n">
        <v>2</v>
      </c>
      <c r="C11" s="8" t="inlineStr">
        <is>
          <t>Claude Sonnet 5 — mock scoring, reports.</t>
        </is>
      </c>
    </row>
    <row r="12">
      <c r="A12" s="6" t="inlineStr">
        <is>
          <t>Analysis model output</t>
        </is>
      </c>
      <c r="B12" s="10" t="n">
        <v>10</v>
      </c>
      <c r="C12" s="8" t="inlineStr">
        <is>
          <t>Claude Sonnet 5.</t>
        </is>
      </c>
    </row>
    <row r="13">
      <c r="A13" s="4" t="inlineStr">
        <is>
          <t>§ AI Assist — usage per AI-active student per month</t>
        </is>
      </c>
      <c r="B13" s="5" t="inlineStr"/>
      <c r="C13" s="5" t="inlineStr"/>
    </row>
    <row r="14">
      <c r="A14" s="6" t="inlineStr">
        <is>
          <t>Tutor questions</t>
        </is>
      </c>
      <c r="B14" s="11" t="n">
        <v>30</v>
      </c>
      <c r="C14" s="8" t="inlineStr">
        <is>
          <t>Site claims 400+ questions over a course; 30/mo is that pace.</t>
        </is>
      </c>
    </row>
    <row r="15">
      <c r="A15" s="6" t="inlineStr">
        <is>
          <t>Tutor input tokens per question</t>
        </is>
      </c>
      <c r="B15" s="11" t="n">
        <v>4000</v>
      </c>
      <c r="C15" s="8" t="inlineStr">
        <is>
          <t>Syllabus context, largely prompt-cached.</t>
        </is>
      </c>
    </row>
    <row r="16">
      <c r="A16" s="6" t="inlineStr">
        <is>
          <t>Tutor output tokens per question</t>
        </is>
      </c>
      <c r="B16" s="11" t="n">
        <v>800</v>
      </c>
      <c r="C16" s="8" t="inlineStr">
        <is>
          <t>MEASURE — replace with your ai_events median.</t>
        </is>
      </c>
    </row>
    <row r="17">
      <c r="A17" s="6" t="inlineStr">
        <is>
          <t>Graded items per month</t>
        </is>
      </c>
      <c r="B17" s="11" t="n">
        <v>8</v>
      </c>
      <c r="C17" s="8" t="inlineStr">
        <is>
          <t>Assignments plus quizzes.</t>
        </is>
      </c>
    </row>
    <row r="18">
      <c r="A18" s="6" t="inlineStr">
        <is>
          <t>Grading input tokens per item</t>
        </is>
      </c>
      <c r="B18" s="11" t="n">
        <v>5000</v>
      </c>
      <c r="C18" s="8" t="inlineStr">
        <is>
          <t>MEASURE — replace with measured.</t>
        </is>
      </c>
    </row>
    <row r="19">
      <c r="A19" s="6" t="inlineStr">
        <is>
          <t>Grading output tokens per item</t>
        </is>
      </c>
      <c r="B19" s="11" t="n">
        <v>1000</v>
      </c>
      <c r="C19" s="8" t="inlineStr">
        <is>
          <t>MEASURE — replace with measured.</t>
        </is>
      </c>
    </row>
    <row r="20">
      <c r="A20" s="6" t="inlineStr">
        <is>
          <t>Mock interviews analysed</t>
        </is>
      </c>
      <c r="B20" s="11" t="n">
        <v>4</v>
      </c>
      <c r="C20" s="8" t="inlineStr">
        <is>
          <t>Weekly mocks, per the programme.</t>
        </is>
      </c>
    </row>
    <row r="21">
      <c r="A21" s="6" t="inlineStr">
        <is>
          <t>Mock analysis input tokens</t>
        </is>
      </c>
      <c r="B21" s="11" t="n">
        <v>15000</v>
      </c>
      <c r="C21" s="8" t="inlineStr">
        <is>
          <t>Transcript plus rubric.</t>
        </is>
      </c>
    </row>
    <row r="22">
      <c r="A22" s="6" t="inlineStr">
        <is>
          <t>Mock analysis output tokens</t>
        </is>
      </c>
      <c r="B22" s="11" t="n">
        <v>2000</v>
      </c>
      <c r="C22" s="8" t="inlineStr">
        <is>
          <t>Per-dimension scores and gap report.</t>
        </is>
      </c>
    </row>
    <row r="23">
      <c r="A23" s="4" t="inlineStr">
        <is>
          <t>§ AI Voice — the metered line</t>
        </is>
      </c>
      <c r="B23" s="5" t="inlineStr"/>
      <c r="C23" s="5" t="inlineStr"/>
    </row>
    <row r="24">
      <c r="A24" s="6" t="inlineStr">
        <is>
          <t>Voice platform cost per minute (USD)</t>
        </is>
      </c>
      <c r="B24" s="10" t="n">
        <v>0.11</v>
      </c>
      <c r="C24" s="8" t="inlineStr">
        <is>
          <t>Vapi/Retell realistic all-in: $0.07–0.15/min.</t>
        </is>
      </c>
    </row>
    <row r="25">
      <c r="A25" s="6" t="inlineStr">
        <is>
          <t>Telephony cost per minute (USD)</t>
        </is>
      </c>
      <c r="B25" s="10" t="n">
        <v>0.02</v>
      </c>
      <c r="C25" s="8" t="inlineStr">
        <is>
          <t>Outbound India; confirm with your carrier.</t>
        </is>
      </c>
    </row>
    <row r="26">
      <c r="A26" s="6" t="inlineStr">
        <is>
          <t>Voice minutes per mock interview</t>
        </is>
      </c>
      <c r="B26" s="11" t="n">
        <v>15</v>
      </c>
      <c r="C26" s="8" t="inlineStr">
        <is>
          <t>One mock = one 15-minute call.</t>
        </is>
      </c>
    </row>
    <row r="27">
      <c r="A27" s="4" t="inlineStr">
        <is>
          <t>§ Messaging</t>
        </is>
      </c>
      <c r="B27" s="5" t="inlineStr"/>
      <c r="C27" s="5" t="inlineStr"/>
    </row>
    <row r="28">
      <c r="A28" s="6" t="inlineStr">
        <is>
          <t>WhatsApp utility messages per student per month</t>
        </is>
      </c>
      <c r="B28" s="11" t="n">
        <v>12</v>
      </c>
      <c r="C28" s="8" t="inlineStr">
        <is>
          <t>Nudges, reminders, results.</t>
        </is>
      </c>
    </row>
    <row r="29">
      <c r="A29" s="6" t="inlineStr">
        <is>
          <t>WhatsApp utility rate (INR, ex-GST)</t>
        </is>
      </c>
      <c r="B29" s="12" t="n">
        <v>0.115</v>
      </c>
      <c r="C29" s="8" t="inlineStr">
        <is>
          <t>Meta India per-message rate, 2026.</t>
        </is>
      </c>
    </row>
    <row r="30">
      <c r="A30" s="6" t="inlineStr">
        <is>
          <t>WhatsApp marketing messages per student per month</t>
        </is>
      </c>
      <c r="B30" s="11" t="n">
        <v>2</v>
      </c>
      <c r="C30" s="8" t="inlineStr">
        <is>
          <t>Campaigns.</t>
        </is>
      </c>
    </row>
    <row r="31">
      <c r="A31" s="6" t="inlineStr">
        <is>
          <t>WhatsApp marketing rate (INR, ex-GST)</t>
        </is>
      </c>
      <c r="B31" s="12" t="n">
        <v>0.8631</v>
      </c>
      <c r="C31" s="8" t="inlineStr">
        <is>
          <t>Meta India per-message rate, 2026.</t>
        </is>
      </c>
    </row>
    <row r="32">
      <c r="A32" s="4" t="inlineStr">
        <is>
          <t>§ Infrastructure — built up from published unit rates</t>
        </is>
      </c>
      <c r="B32" s="5" t="inlineStr"/>
      <c r="C32" s="5" t="inlineStr"/>
    </row>
    <row r="33">
      <c r="A33" s="6" t="inlineStr">
        <is>
          <t>Video GB streamed per active student per month</t>
        </is>
      </c>
      <c r="B33" s="7" t="n">
        <v>5</v>
      </c>
      <c r="C33" s="8" t="inlineStr">
        <is>
          <t>~10 hrs at 720p (≈0.5 GB/hr).</t>
        </is>
      </c>
    </row>
    <row r="34">
      <c r="A34" s="6" t="inlineStr">
        <is>
          <t>CDN egress rate per GB (USD)</t>
        </is>
      </c>
      <c r="B34" s="10" t="n">
        <v>0.02</v>
      </c>
      <c r="C34" s="8" t="inlineStr">
        <is>
          <t>bunny.net: Asia standard $0.03, volume from $0.005.</t>
        </is>
      </c>
    </row>
    <row r="35">
      <c r="A35" s="6" t="inlineStr">
        <is>
          <t>Recording GB retained per active student</t>
        </is>
      </c>
      <c r="B35" s="7" t="n">
        <v>1.8</v>
      </c>
      <c r="C35" s="8" t="inlineStr">
        <is>
          <t>4 mocks × 15 min × 0.15 GB, 90-day retention.</t>
        </is>
      </c>
    </row>
    <row r="36">
      <c r="A36" s="6" t="inlineStr">
        <is>
          <t>Object storage rate per GB-month (USD)</t>
        </is>
      </c>
      <c r="B36" s="10" t="n">
        <v>0.015</v>
      </c>
      <c r="C36" s="8" t="inlineStr">
        <is>
          <t>Cloudflare R2 Standard, zero egress.</t>
        </is>
      </c>
    </row>
    <row r="37">
      <c r="A37" s="6" t="inlineStr">
        <is>
          <t>App compute + DB per active student per month (USD)</t>
        </is>
      </c>
      <c r="B37" s="10" t="n">
        <v>0.05</v>
      </c>
      <c r="C37" s="8" t="inlineStr">
        <is>
          <t>MEASURE — amortise tenant 1's bill.</t>
        </is>
      </c>
    </row>
    <row r="38">
      <c r="A38" s="6" t="inlineStr">
        <is>
          <t>Platform base cost per tenant per month (USD)</t>
        </is>
      </c>
      <c r="B38" s="13" t="n">
        <v>20</v>
      </c>
      <c r="C38" s="8" t="inlineStr">
        <is>
          <t>DB share, monitoring, backups, TLS, WAF.</t>
        </is>
      </c>
    </row>
    <row r="39">
      <c r="A39" s="4" t="inlineStr">
        <is>
          <t>§ Utilisation</t>
        </is>
      </c>
      <c r="B39" s="5" t="inlineStr"/>
      <c r="C39" s="5" t="inlineStr"/>
    </row>
    <row r="40">
      <c r="A40" s="6" t="inlineStr">
        <is>
          <t>Monthly-active share of enrolled seats</t>
        </is>
      </c>
      <c r="B40" s="9" t="n">
        <v>0.65</v>
      </c>
      <c r="C40" s="8" t="inlineStr">
        <is>
          <t>An enrolled seat is not a billable-cost seat every month.</t>
        </is>
      </c>
    </row>
    <row r="41">
      <c r="A41" s="4" t="inlineStr">
        <is>
          <t>§ Operations</t>
        </is>
      </c>
      <c r="B41" s="5" t="inlineStr"/>
      <c r="C41" s="5" t="inlineStr"/>
    </row>
    <row r="42">
      <c r="A42" s="6" t="inlineStr">
        <is>
          <t>Support cost — Starter tenant (INR/mo)</t>
        </is>
      </c>
      <c r="B42" s="14" t="n">
        <v>1500</v>
      </c>
      <c r="C42" s="8" t="inlineStr">
        <is>
          <t>Email, next business day. Low touch by design.</t>
        </is>
      </c>
    </row>
    <row r="43">
      <c r="A43" s="6" t="inlineStr">
        <is>
          <t>Support cost — Growth tenant (INR/mo)</t>
        </is>
      </c>
      <c r="B43" s="14" t="n">
        <v>5000</v>
      </c>
      <c r="C43" s="8" t="inlineStr">
        <is>
          <t>Priority queue with an SLA.</t>
        </is>
      </c>
    </row>
    <row r="44">
      <c r="A44" s="6" t="inlineStr">
        <is>
          <t>Support cost — Enterprise tenant (INR/mo)</t>
        </is>
      </c>
      <c r="B44" s="14" t="n">
        <v>15000</v>
      </c>
      <c r="C44" s="8" t="inlineStr">
        <is>
          <t>Named account manager, partial allocation.</t>
        </is>
      </c>
    </row>
    <row r="45">
      <c r="A45" s="6" t="inlineStr">
        <is>
          <t>Onboarding cost per new tenant (INR, one-time)</t>
        </is>
      </c>
      <c r="B45" s="14" t="n">
        <v>60000</v>
      </c>
      <c r="C45" s="8" t="inlineStr">
        <is>
          <t>~6 weeks part-time implementation.</t>
        </is>
      </c>
    </row>
    <row r="46">
      <c r="A46" s="6" t="inlineStr">
        <is>
          <t>Data migration cost per source system (USD)</t>
        </is>
      </c>
      <c r="B46" s="13" t="n">
        <v>250</v>
      </c>
      <c r="C46" s="8" t="inlineStr">
        <is>
          <t>ETL build, dry run, cutover.</t>
        </is>
      </c>
    </row>
    <row r="47">
      <c r="A47" s="4" t="inlineStr">
        <is>
          <t>§ Margin targets</t>
        </is>
      </c>
      <c r="B47" s="5" t="inlineStr"/>
      <c r="C47" s="5" t="inlineStr"/>
    </row>
    <row r="48">
      <c r="A48" s="6" t="inlineStr">
        <is>
          <t>Target gross margin — India</t>
        </is>
      </c>
      <c r="B48" s="9" t="n">
        <v>0.68</v>
      </c>
      <c r="C48" s="8" t="inlineStr">
        <is>
          <t>What the Indian anchor price actually supports. See Tier economics.</t>
        </is>
      </c>
    </row>
    <row r="49">
      <c r="A49" s="6" t="inlineStr">
        <is>
          <t>Target gross margin — International</t>
        </is>
      </c>
      <c r="B49" s="9" t="n">
        <v>0.82</v>
      </c>
      <c r="C49" s="8" t="inlineStr">
        <is>
          <t>Higher price, identical cost base.</t>
        </is>
      </c>
    </row>
    <row r="50">
      <c r="A50" s="6" t="inlineStr">
        <is>
          <t>Licence discount floor — margin</t>
        </is>
      </c>
      <c r="B50" s="9" t="n">
        <v>0.55</v>
      </c>
      <c r="C50" s="8" t="inlineStr">
        <is>
          <t>Below this, founder sign-off required.</t>
        </is>
      </c>
    </row>
    <row r="52">
      <c r="A52" s="15" t="inlineStr">
        <is>
          <t>Legend: blue on yellow = input you edit · black = formula · green = link to another sheet.</t>
        </is>
      </c>
    </row>
  </sheetData>
  <mergeCells count="1"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26" customWidth="1" min="3" max="3"/>
  </cols>
  <sheetData>
    <row r="1">
      <c r="A1" s="1" t="inlineStr">
        <is>
          <t>What one student costs us, per month</t>
        </is>
      </c>
    </row>
    <row r="2">
      <c r="A2" s="2" t="inlineStr">
        <is>
          <t>Three stacks, three orders of magnitude. This page is why AI Voice is metered and the platform is not.</t>
        </is>
      </c>
    </row>
    <row r="4" ht="30" customHeight="1">
      <c r="A4" s="3" t="inlineStr">
        <is>
          <t>Cost line</t>
        </is>
      </c>
      <c r="B4" s="3" t="inlineStr">
        <is>
          <t>Formula basis</t>
        </is>
      </c>
      <c r="C4" s="3" t="inlineStr">
        <is>
          <t>USD / active student / month</t>
        </is>
      </c>
    </row>
    <row r="5">
      <c r="A5" s="4" t="inlineStr">
        <is>
          <t>Platform — charged in the licence</t>
        </is>
      </c>
      <c r="B5" s="5" t="inlineStr"/>
      <c r="C5" s="5" t="inlineStr"/>
    </row>
    <row r="6">
      <c r="A6" s="6" t="inlineStr">
        <is>
          <t>Video delivery</t>
        </is>
      </c>
      <c r="B6" s="8" t="inlineStr">
        <is>
          <t>GB streamed × CDN rate</t>
        </is>
      </c>
      <c r="C6" s="16">
        <f>Assumptions!$B$33*Assumptions!$B$34</f>
        <v/>
      </c>
    </row>
    <row r="7">
      <c r="A7" s="6" t="inlineStr">
        <is>
          <t>Recording storage</t>
        </is>
      </c>
      <c r="B7" s="8" t="inlineStr">
        <is>
          <t>GB retained × object storage rate</t>
        </is>
      </c>
      <c r="C7" s="16">
        <f>Assumptions!$B$35*Assumptions!$B$36</f>
        <v/>
      </c>
    </row>
    <row r="8">
      <c r="A8" s="6" t="inlineStr">
        <is>
          <t>App compute &amp; database</t>
        </is>
      </c>
      <c r="B8" s="8" t="inlineStr">
        <is>
          <t>amortised per active student</t>
        </is>
      </c>
      <c r="C8" s="16">
        <f>Assumptions!$B$37</f>
        <v/>
      </c>
    </row>
    <row r="9">
      <c r="A9" s="6" t="inlineStr">
        <is>
          <t>WhatsApp messaging</t>
        </is>
      </c>
      <c r="B9" s="8" t="inlineStr">
        <is>
          <t>(utility + marketing) ÷ FX</t>
        </is>
      </c>
      <c r="C9" s="16">
        <f>(Assumptions!$B$28*Assumptions!$B$29+Assumptions!$B$30*Assumptions!$B$31)/Assumptions!$B$6</f>
        <v/>
      </c>
    </row>
    <row r="10">
      <c r="A10" s="17" t="inlineStr">
        <is>
          <t>Platform — charged in the licence subtotal</t>
        </is>
      </c>
      <c r="C10" s="18">
        <f>SUM(C6:C9)</f>
        <v/>
      </c>
    </row>
    <row r="12">
      <c r="A12" s="4" t="inlineStr">
        <is>
          <t>AI Assist — sold as a per-student pack</t>
        </is>
      </c>
      <c r="B12" s="5" t="inlineStr"/>
      <c r="C12" s="5" t="inlineStr"/>
    </row>
    <row r="13">
      <c r="A13" s="6" t="inlineStr">
        <is>
          <t>AI tutor</t>
        </is>
      </c>
      <c r="B13" s="8" t="inlineStr">
        <is>
          <t>questions × (in×rate + out×rate)</t>
        </is>
      </c>
      <c r="C13" s="16">
        <f>Assumptions!$B$14*(Assumptions!$B$15/1000000*Assumptions!$B$9+Assumptions!$B$16/1000000*Assumptions!$B$10)</f>
        <v/>
      </c>
    </row>
    <row r="14">
      <c r="A14" s="6" t="inlineStr">
        <is>
          <t>Grading &amp; quizzes</t>
        </is>
      </c>
      <c r="B14" s="8" t="inlineStr">
        <is>
          <t>items × (in×rate + out×rate)</t>
        </is>
      </c>
      <c r="C14" s="16">
        <f>Assumptions!$B$17*(Assumptions!$B$18/1000000*Assumptions!$B$9+Assumptions!$B$19/1000000*Assumptions!$B$10)</f>
        <v/>
      </c>
    </row>
    <row r="15">
      <c r="A15" s="6" t="inlineStr">
        <is>
          <t>Mock interview analysis</t>
        </is>
      </c>
      <c r="B15" s="8" t="inlineStr">
        <is>
          <t>mocks × (in×rate + out×rate)</t>
        </is>
      </c>
      <c r="C15" s="16">
        <f>Assumptions!$B$20*(Assumptions!$B$21/1000000*Assumptions!$B$11+Assumptions!$B$22/1000000*Assumptions!$B$12)</f>
        <v/>
      </c>
    </row>
    <row r="16">
      <c r="A16" s="17" t="inlineStr">
        <is>
          <t>AI Assist — sold as a per-student pack subtotal</t>
        </is>
      </c>
      <c r="C16" s="18">
        <f>SUM(C13:C15)</f>
        <v/>
      </c>
    </row>
    <row r="18">
      <c r="A18" s="4" t="inlineStr">
        <is>
          <t>AI Voice — metered by the minute</t>
        </is>
      </c>
      <c r="B18" s="5" t="inlineStr"/>
      <c r="C18" s="5" t="inlineStr"/>
    </row>
    <row r="19">
      <c r="A19" s="6" t="inlineStr">
        <is>
          <t>Voice platform, one 15-min mock</t>
        </is>
      </c>
      <c r="B19" s="8" t="inlineStr">
        <is>
          <t>minutes × platform rate</t>
        </is>
      </c>
      <c r="C19" s="16">
        <f>Assumptions!$B$26*Assumptions!$B$24</f>
        <v/>
      </c>
    </row>
    <row r="20">
      <c r="A20" s="6" t="inlineStr">
        <is>
          <t>Telephony, one 15-min mock</t>
        </is>
      </c>
      <c r="B20" s="8" t="inlineStr">
        <is>
          <t>minutes × telephony rate</t>
        </is>
      </c>
      <c r="C20" s="16">
        <f>Assumptions!$B$26*Assumptions!$B$25</f>
        <v/>
      </c>
    </row>
    <row r="21">
      <c r="A21" s="17" t="inlineStr">
        <is>
          <t>AI Voice — metered by the minute subtotal</t>
        </is>
      </c>
      <c r="C21" s="18">
        <f>SUM(C19:C20)</f>
        <v/>
      </c>
    </row>
    <row r="23">
      <c r="A23" s="19" t="inlineStr">
        <is>
          <t>Reality check — relative size</t>
        </is>
      </c>
    </row>
    <row r="24">
      <c r="A24" s="6" t="inlineStr">
        <is>
          <t>One month of platform, per student</t>
        </is>
      </c>
      <c r="C24" s="20">
        <f>'Unit economics'!$C$10</f>
        <v/>
      </c>
    </row>
    <row r="25">
      <c r="A25" s="6" t="inlineStr">
        <is>
          <t>One month of AI Assist, per student</t>
        </is>
      </c>
      <c r="C25" s="20">
        <f>'Unit economics'!$C$16</f>
        <v/>
      </c>
    </row>
    <row r="26">
      <c r="A26" s="6" t="inlineStr">
        <is>
          <t>ONE 15-minute voice mock</t>
        </is>
      </c>
      <c r="C26" s="20">
        <f>'Unit economics'!$C$21</f>
        <v/>
      </c>
    </row>
    <row r="27">
      <c r="A27" s="6" t="inlineStr">
        <is>
          <t>Four voice mocks (the weekly programme)</t>
        </is>
      </c>
      <c r="C27" s="20">
        <f>'Unit economics'!$C$21*4</f>
        <v/>
      </c>
    </row>
    <row r="29" ht="48" customHeight="1">
      <c r="A29" s="15" t="inlineStr">
        <is>
          <t>A student on the full weekly-mock programme costs more in voice minutes than in everything else combined, several times over. Halve the token counts above and the total barely moves; halve the voice minutes and the business changes. That is why the licence covers the platform, AI Assist is a per-student pack, and voice is billed against metered minutes.</t>
        </is>
      </c>
    </row>
  </sheetData>
  <mergeCells count="1"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3" customWidth="1" min="4" max="4"/>
    <col width="12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Tier economics — India and International</t>
        </is>
      </c>
    </row>
    <row r="2">
      <c r="A2" s="2" t="inlineStr">
        <is>
          <t>Cost is modelled bottom-up; price is a round point chosen against the Benchmarks sheet. Each tier includes a small AI allowance so the AI sells itself — sized to stay a minor share of the licence.</t>
        </is>
      </c>
    </row>
    <row r="4" ht="30" customHeight="1">
      <c r="A4" s="3" t="inlineStr">
        <is>
          <t>Tier</t>
        </is>
      </c>
      <c r="B4" s="3" t="inlineStr">
        <is>
          <t>Enrolled seats</t>
        </is>
      </c>
      <c r="C4" s="3" t="inlineStr">
        <is>
          <t>Active seats</t>
        </is>
      </c>
      <c r="D4" s="3" t="inlineStr">
        <is>
          <t>Platform cost</t>
        </is>
      </c>
      <c r="E4" s="3" t="inlineStr">
        <is>
          <t>Tenant cost</t>
        </is>
      </c>
      <c r="F4" s="3" t="inlineStr">
        <is>
          <t>Included AI cost</t>
        </is>
      </c>
      <c r="G4" s="3" t="inlineStr">
        <is>
          <t>Total cost / mo (USD)</t>
        </is>
      </c>
      <c r="H4" s="3" t="inlineStr">
        <is>
          <t>INDIA ₹/mo</t>
        </is>
      </c>
      <c r="I4" s="3" t="inlineStr">
        <is>
          <t>Margin — India</t>
        </is>
      </c>
      <c r="J4" s="3" t="inlineStr">
        <is>
          <t>INTL $/mo</t>
        </is>
      </c>
      <c r="K4" s="3" t="inlineStr">
        <is>
          <t>Margin — Intl</t>
        </is>
      </c>
    </row>
    <row r="5">
      <c r="A5" s="21" t="inlineStr">
        <is>
          <t>Starter</t>
        </is>
      </c>
      <c r="B5" s="11" t="n">
        <v>100</v>
      </c>
      <c r="C5" s="22">
        <f>B5*Assumptions!$B$40</f>
        <v/>
      </c>
      <c r="D5" s="23">
        <f>C5*'Unit economics'!$C$10</f>
        <v/>
      </c>
      <c r="E5" s="23">
        <f>Assumptions!$B$38+Assumptions!$B$42/Assumptions!$B$6</f>
        <v/>
      </c>
      <c r="F5" s="23">
        <f>25*'Unit economics'!$C$16+150*(Assumptions!$B$24+Assumptions!$B$25)</f>
        <v/>
      </c>
      <c r="G5" s="24">
        <f>D5+E5+F5</f>
        <v/>
      </c>
      <c r="H5" s="25" t="n">
        <v>24999</v>
      </c>
      <c r="I5" s="26">
        <f>IFERROR((H5/Assumptions!$B$6-G5)/(H5/Assumptions!$B$6),0)</f>
        <v/>
      </c>
      <c r="J5" s="27" t="n">
        <v>499</v>
      </c>
      <c r="K5" s="26">
        <f>IFERROR((J5-G5)/J5,0)</f>
        <v/>
      </c>
    </row>
    <row r="6">
      <c r="A6" s="21" t="inlineStr">
        <is>
          <t>Growth</t>
        </is>
      </c>
      <c r="B6" s="11" t="n">
        <v>500</v>
      </c>
      <c r="C6" s="22">
        <f>B6*Assumptions!$B$40</f>
        <v/>
      </c>
      <c r="D6" s="23">
        <f>C6*'Unit economics'!$C$10</f>
        <v/>
      </c>
      <c r="E6" s="23">
        <f>Assumptions!$B$38+Assumptions!$B$43/Assumptions!$B$6</f>
        <v/>
      </c>
      <c r="F6" s="23">
        <f>100*'Unit economics'!$C$16+400*(Assumptions!$B$24+Assumptions!$B$25)</f>
        <v/>
      </c>
      <c r="G6" s="24">
        <f>D6+E6+F6</f>
        <v/>
      </c>
      <c r="H6" s="25" t="n">
        <v>74999</v>
      </c>
      <c r="I6" s="26">
        <f>IFERROR((H6/Assumptions!$B$6-G6)/(H6/Assumptions!$B$6),0)</f>
        <v/>
      </c>
      <c r="J6" s="27" t="n">
        <v>1499</v>
      </c>
      <c r="K6" s="26">
        <f>IFERROR((J6-G6)/J6,0)</f>
        <v/>
      </c>
    </row>
    <row r="7">
      <c r="A7" s="21" t="inlineStr">
        <is>
          <t>Enterprise</t>
        </is>
      </c>
      <c r="B7" s="11" t="n">
        <v>1500</v>
      </c>
      <c r="C7" s="22">
        <f>B7*Assumptions!$B$40</f>
        <v/>
      </c>
      <c r="D7" s="23">
        <f>C7*'Unit economics'!$C$10</f>
        <v/>
      </c>
      <c r="E7" s="23">
        <f>Assumptions!$B$38+Assumptions!$B$44/Assumptions!$B$6</f>
        <v/>
      </c>
      <c r="F7" s="23">
        <f>250*'Unit economics'!$C$16+800*(Assumptions!$B$24+Assumptions!$B$25)</f>
        <v/>
      </c>
      <c r="G7" s="24">
        <f>D7+E7+F7</f>
        <v/>
      </c>
      <c r="H7" s="25" t="n">
        <v>199999</v>
      </c>
      <c r="I7" s="26">
        <f>IFERROR((H7/Assumptions!$B$6-G7)/(H7/Assumptions!$B$6),0)</f>
        <v/>
      </c>
      <c r="J7" s="27" t="n">
        <v>3499</v>
      </c>
      <c r="K7" s="26">
        <f>IFERROR((J7-G7)/J7,0)</f>
        <v/>
      </c>
    </row>
    <row r="9">
      <c r="A9" s="19" t="inlineStr">
        <is>
          <t>Included AI allowance — state this in the order form</t>
        </is>
      </c>
    </row>
    <row r="10" ht="30" customHeight="1">
      <c r="A10" s="3" t="inlineStr">
        <is>
          <t>Tier</t>
        </is>
      </c>
      <c r="B10" s="3" t="inlineStr">
        <is>
          <t>AI Assist students / mo</t>
        </is>
      </c>
      <c r="C10" s="3" t="inlineStr">
        <is>
          <t>Voice minutes / mo</t>
        </is>
      </c>
      <c r="D10" s="3">
        <f> mock interviews / mo</f>
        <v/>
      </c>
      <c r="E10" s="3" t="inlineStr">
        <is>
          <t>Allowance as % of licence (India)</t>
        </is>
      </c>
    </row>
    <row r="11">
      <c r="A11" s="28" t="inlineStr">
        <is>
          <t>Starter</t>
        </is>
      </c>
      <c r="B11" s="11" t="n">
        <v>25</v>
      </c>
      <c r="C11" s="11" t="n">
        <v>150</v>
      </c>
      <c r="D11" s="22">
        <f>B11*0+150/Assumptions!$B$26</f>
        <v/>
      </c>
      <c r="E11" s="29">
        <f>IFERROR(F5/(H5/Assumptions!$B$6),0)</f>
        <v/>
      </c>
    </row>
    <row r="12">
      <c r="A12" s="28" t="inlineStr">
        <is>
          <t>Growth</t>
        </is>
      </c>
      <c r="B12" s="11" t="n">
        <v>100</v>
      </c>
      <c r="C12" s="11" t="n">
        <v>400</v>
      </c>
      <c r="D12" s="22">
        <f>B12*0+400/Assumptions!$B$26</f>
        <v/>
      </c>
      <c r="E12" s="29">
        <f>IFERROR(F6/(H6/Assumptions!$B$6),0)</f>
        <v/>
      </c>
    </row>
    <row r="13">
      <c r="A13" s="28" t="inlineStr">
        <is>
          <t>Enterprise</t>
        </is>
      </c>
      <c r="B13" s="11" t="n">
        <v>250</v>
      </c>
      <c r="C13" s="11" t="n">
        <v>800</v>
      </c>
      <c r="D13" s="22">
        <f>B13*0+800/Assumptions!$B$26</f>
        <v/>
      </c>
      <c r="E13" s="29">
        <f>IFERROR(F7/(H7/Assumptions!$B$6),0)</f>
        <v/>
      </c>
    </row>
    <row r="15" ht="26" customHeight="1">
      <c r="A15" s="15" t="inlineStr">
        <is>
          <t>Margins here are GROSS — cost of service only. They exclude R&amp;D, sales and G&amp;A. A 68% gross margin is roughly a 30–40% contribution margin once those are loaded.</t>
        </is>
      </c>
    </row>
    <row r="16" ht="26" customHeight="1">
      <c r="A16" s="15" t="inlineStr">
        <is>
          <t>India is priced below the International equivalent on purpose. The cost base is dollar-denominated and identical; the Indian anchor price is not. 68% is what this market supports — do not model 82% in India and then discount into a loss.</t>
        </is>
      </c>
    </row>
    <row r="17" ht="26" customHeight="1">
      <c r="A17" s="15" t="inlineStr">
        <is>
          <t>GST and payment processing are excluded: both are pass-through on collection, not cost of service.</t>
        </is>
      </c>
    </row>
    <row r="18" ht="26" customHeight="1">
      <c r="A18" s="15" t="inlineStr">
        <is>
          <t>Discount floor: never take a licence below the margin floor on the Assumptions sheet without founder sign-off. Annual prepay = 2 months free (16.7%) is the standard concession; give the discount on term, not on price.</t>
        </is>
      </c>
    </row>
  </sheetData>
  <mergeCells count="4">
    <mergeCell ref="A16:K16"/>
    <mergeCell ref="A15:K15"/>
    <mergeCell ref="A17:K17"/>
    <mergeCell ref="A18:K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What we sell on top of the licence</t>
        </is>
      </c>
    </row>
    <row r="2">
      <c r="A2" s="2" t="inlineStr">
        <is>
          <t>The licence is software margin. This page is where AI consumption is recovered — at a deliberately lower, honest margin, because it is largely someone else's bill.</t>
        </is>
      </c>
    </row>
    <row r="4" ht="30" customHeight="1">
      <c r="A4" s="3" t="inlineStr">
        <is>
          <t>Meter</t>
        </is>
      </c>
      <c r="B4" s="3" t="inlineStr">
        <is>
          <t>Our cost (USD)</t>
        </is>
      </c>
      <c r="C4" s="3" t="inlineStr">
        <is>
          <t>INDIA list</t>
        </is>
      </c>
      <c r="D4" s="3" t="inlineStr">
        <is>
          <t>Margin — India</t>
        </is>
      </c>
      <c r="E4" s="3" t="inlineStr">
        <is>
          <t>INTL list (USD)</t>
        </is>
      </c>
      <c r="F4" s="3" t="inlineStr">
        <is>
          <t>Margin — Intl</t>
        </is>
      </c>
    </row>
    <row r="5">
      <c r="A5" s="6" t="inlineStr">
        <is>
          <t>AI Assist — per AI-active student / month</t>
        </is>
      </c>
      <c r="B5" s="16">
        <f>'Unit economics'!$C$16</f>
        <v/>
      </c>
      <c r="C5" s="12" t="n">
        <v>199</v>
      </c>
      <c r="D5" s="26">
        <f>IFERROR((C5/Assumptions!$B$6-B5)/(C5/Assumptions!$B$6),0)</f>
        <v/>
      </c>
      <c r="E5" s="10" t="n">
        <v>3</v>
      </c>
      <c r="F5" s="26">
        <f>IFERROR((E5-B5)/E5,0)</f>
        <v/>
      </c>
    </row>
    <row r="6">
      <c r="A6" s="6" t="inlineStr">
        <is>
          <t>AI Voice — per minute, our keys</t>
        </is>
      </c>
      <c r="B6" s="16">
        <f>(Assumptions!$B$24+Assumptions!$B$25)</f>
        <v/>
      </c>
      <c r="C6" s="12" t="n">
        <v>25</v>
      </c>
      <c r="D6" s="26">
        <f>IFERROR((C6/Assumptions!$B$6-B6)/(C6/Assumptions!$B$6),0)</f>
        <v/>
      </c>
      <c r="E6" s="10" t="n">
        <v>0.4</v>
      </c>
      <c r="F6" s="26">
        <f>IFERROR((E6-B6)/E6,0)</f>
        <v/>
      </c>
    </row>
    <row r="7">
      <c r="A7" s="6" t="inlineStr">
        <is>
          <t>AI Voice — per minute, partner's own keys</t>
        </is>
      </c>
      <c r="B7" s="16">
        <f>(Assumptions!$B$24+Assumptions!$B$25)*0+0.005</f>
        <v/>
      </c>
      <c r="C7" s="12" t="n">
        <v>6</v>
      </c>
      <c r="D7" s="26">
        <f>IFERROR((C7/Assumptions!$B$6-B7)/(C7/Assumptions!$B$6),0)</f>
        <v/>
      </c>
      <c r="E7" s="10" t="n">
        <v>0.1</v>
      </c>
      <c r="F7" s="26">
        <f>IFERROR((E7-B7)/E7,0)</f>
        <v/>
      </c>
    </row>
    <row r="8">
      <c r="A8" s="6" t="inlineStr">
        <is>
          <t>Extra enrolled seat / month</t>
        </is>
      </c>
      <c r="B8" s="16">
        <f>'Unit economics'!$C$10*Assumptions!$B$40</f>
        <v/>
      </c>
      <c r="C8" s="12" t="n">
        <v>35</v>
      </c>
      <c r="D8" s="26">
        <f>IFERROR((C8/Assumptions!$B$6-B8)/(C8/Assumptions!$B$6),0)</f>
        <v/>
      </c>
      <c r="E8" s="10" t="n">
        <v>0.6</v>
      </c>
      <c r="F8" s="26">
        <f>IFERROR((E8-B8)/E8,0)</f>
        <v/>
      </c>
    </row>
    <row r="10" ht="42" customHeight="1">
      <c r="A10" s="15" t="inlineStr">
        <is>
          <t>Voice margin is structurally thinner than software margin — roughly half of the price is a third party's invoice. Do not fix that by raising the per-minute price until it stops selling: fix it by moving high-volume partners onto their own Vapi/Twilio keys, where we charge orchestration only and their voice bill is their own.</t>
        </is>
      </c>
    </row>
    <row r="12">
      <c r="A12" s="19" t="inlineStr">
        <is>
          <t>Prepaid voice blocks — India</t>
        </is>
      </c>
    </row>
    <row r="13" ht="30" customHeight="1">
      <c r="A13" s="3" t="inlineStr">
        <is>
          <t>Block</t>
        </is>
      </c>
      <c r="B13" s="3" t="inlineStr">
        <is>
          <t>Minutes</t>
        </is>
      </c>
      <c r="C13" s="3" t="inlineStr">
        <is>
          <t>Price (INR)</t>
        </is>
      </c>
      <c r="D13" s="3" t="inlineStr">
        <is>
          <t>Effective ₹/min</t>
        </is>
      </c>
      <c r="E13" s="3" t="inlineStr">
        <is>
          <t>Our cost (USD)</t>
        </is>
      </c>
      <c r="F13" s="3" t="inlineStr">
        <is>
          <t>Margin</t>
        </is>
      </c>
    </row>
    <row r="14">
      <c r="A14" s="28" t="inlineStr">
        <is>
          <t>Trial</t>
        </is>
      </c>
      <c r="B14" s="11" t="n">
        <v>500</v>
      </c>
      <c r="C14" s="14" t="n">
        <v>12499</v>
      </c>
      <c r="D14" s="30">
        <f>IFERROR(C14/B14,0)</f>
        <v/>
      </c>
      <c r="E14" s="23">
        <f>B14*(Assumptions!$B$24+Assumptions!$B$25)</f>
        <v/>
      </c>
      <c r="F14" s="26">
        <f>IFERROR((C14/Assumptions!$B$6-E14)/(C14/Assumptions!$B$6),0)</f>
        <v/>
      </c>
    </row>
    <row r="15">
      <c r="A15" s="28" t="inlineStr">
        <is>
          <t>Standard</t>
        </is>
      </c>
      <c r="B15" s="11" t="n">
        <v>1000</v>
      </c>
      <c r="C15" s="14" t="n">
        <v>24999</v>
      </c>
      <c r="D15" s="30">
        <f>IFERROR(C15/B15,0)</f>
        <v/>
      </c>
      <c r="E15" s="23">
        <f>B15*(Assumptions!$B$24+Assumptions!$B$25)</f>
        <v/>
      </c>
      <c r="F15" s="26">
        <f>IFERROR((C15/Assumptions!$B$6-E15)/(C15/Assumptions!$B$6),0)</f>
        <v/>
      </c>
    </row>
    <row r="16">
      <c r="A16" s="28" t="inlineStr">
        <is>
          <t>Volume</t>
        </is>
      </c>
      <c r="B16" s="11" t="n">
        <v>5000</v>
      </c>
      <c r="C16" s="14" t="n">
        <v>114999</v>
      </c>
      <c r="D16" s="30">
        <f>IFERROR(C16/B16,0)</f>
        <v/>
      </c>
      <c r="E16" s="23">
        <f>B16*(Assumptions!$B$24+Assumptions!$B$25)</f>
        <v/>
      </c>
      <c r="F16" s="26">
        <f>IFERROR((C16/Assumptions!$B$6-E16)/(C16/Assumptions!$B$6),0)</f>
        <v/>
      </c>
    </row>
    <row r="17">
      <c r="A17" s="28" t="inlineStr">
        <is>
          <t>Institutional</t>
        </is>
      </c>
      <c r="B17" s="11" t="n">
        <v>20000</v>
      </c>
      <c r="C17" s="14" t="n">
        <v>419999</v>
      </c>
      <c r="D17" s="30">
        <f>IFERROR(C17/B17,0)</f>
        <v/>
      </c>
      <c r="E17" s="23">
        <f>B17*(Assumptions!$B$24+Assumptions!$B$25)</f>
        <v/>
      </c>
      <c r="F17" s="26">
        <f>IFERROR((C17/Assumptions!$B$6-E17)/(C17/Assumptions!$B$6),0)</f>
        <v/>
      </c>
    </row>
    <row r="19">
      <c r="A19" s="19" t="inlineStr">
        <is>
          <t>One-time fees</t>
        </is>
      </c>
    </row>
    <row r="20" ht="30" customHeight="1">
      <c r="A20" s="3" t="inlineStr">
        <is>
          <t>Fee</t>
        </is>
      </c>
      <c r="B20" s="3" t="inlineStr">
        <is>
          <t>Our cost (USD)</t>
        </is>
      </c>
      <c r="C20" s="3" t="inlineStr">
        <is>
          <t>INDIA list</t>
        </is>
      </c>
      <c r="D20" s="3" t="inlineStr">
        <is>
          <t>Margin — India</t>
        </is>
      </c>
      <c r="E20" s="3" t="inlineStr">
        <is>
          <t>INTL list (USD)</t>
        </is>
      </c>
      <c r="F20" s="3" t="inlineStr">
        <is>
          <t>Margin — Intl</t>
        </is>
      </c>
    </row>
    <row r="21">
      <c r="A21" s="6" t="inlineStr">
        <is>
          <t>Onboarding &amp; implementation</t>
        </is>
      </c>
      <c r="B21" s="23">
        <f>Assumptions!$B$45/Assumptions!$B$6</f>
        <v/>
      </c>
      <c r="C21" s="14" t="n">
        <v>125000</v>
      </c>
      <c r="D21" s="26">
        <f>IFERROR((C21/Assumptions!$B$6-B21)/(C21/Assumptions!$B$6),0)</f>
        <v/>
      </c>
      <c r="E21" s="13" t="n">
        <v>2500</v>
      </c>
      <c r="F21" s="26">
        <f>IFERROR((E21-B21)/E21,0)</f>
        <v/>
      </c>
    </row>
    <row r="22">
      <c r="A22" s="6" t="inlineStr">
        <is>
          <t>Data migration, per source system</t>
        </is>
      </c>
      <c r="B22" s="23">
        <f>Assumptions!$B$46</f>
        <v/>
      </c>
      <c r="C22" s="14" t="n">
        <v>40000</v>
      </c>
      <c r="D22" s="26">
        <f>IFERROR((C22/Assumptions!$B$6-B22)/(C22/Assumptions!$B$6),0)</f>
        <v/>
      </c>
      <c r="E22" s="13" t="n">
        <v>999</v>
      </c>
      <c r="F22" s="26">
        <f>IFERROR((E22-B22)/E22,0)</f>
        <v/>
      </c>
    </row>
    <row r="23">
      <c r="A23" s="6" t="inlineStr">
        <is>
          <t>Custom domain + branded app store listing</t>
        </is>
      </c>
      <c r="B23" s="23">
        <f>300</f>
        <v/>
      </c>
      <c r="C23" s="14" t="n">
        <v>49999</v>
      </c>
      <c r="D23" s="26">
        <f>IFERROR((C23/Assumptions!$B$6-B23)/(C23/Assumptions!$B$6),0)</f>
        <v/>
      </c>
      <c r="E23" s="13" t="n">
        <v>999</v>
      </c>
      <c r="F23" s="26">
        <f>IFERROR((E23-B23)/E23,0)</f>
        <v/>
      </c>
    </row>
    <row r="25" ht="28" customHeight="1">
      <c r="A25" s="15" t="inlineStr">
        <is>
          <t>Onboarding is a deal-closer, not a profit centre. It may be discounted to cost to win a reference partner — but discount the fee, never the licence, because the licence is what renews.</t>
        </is>
      </c>
    </row>
  </sheetData>
  <mergeCells count="2">
    <mergeCell ref="A10:F10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6" customWidth="1" min="3" max="3"/>
    <col width="34" customWidth="1" min="4" max="4"/>
  </cols>
  <sheetData>
    <row r="1">
      <c r="A1" s="1" t="inlineStr">
        <is>
          <t>What the market charges</t>
        </is>
      </c>
    </row>
    <row r="2">
      <c r="A2" s="2" t="inlineStr">
        <is>
          <t>Gathered August 2026. Ranges are as published or as reported by third-party comparison sites — treat quote-gated vendors as indicative, not exact.</t>
        </is>
      </c>
    </row>
    <row r="4" ht="30" customHeight="1">
      <c r="A4" s="3" t="inlineStr">
        <is>
          <t>Vendor / segment</t>
        </is>
      </c>
      <c r="B4" s="3" t="inlineStr">
        <is>
          <t>Published price</t>
        </is>
      </c>
      <c r="C4" s="3" t="inlineStr">
        <is>
          <t>Notes</t>
        </is>
      </c>
      <c r="D4" s="3" t="inlineStr">
        <is>
          <t>Source</t>
        </is>
      </c>
    </row>
    <row r="5">
      <c r="A5" s="4" t="inlineStr">
        <is>
          <t>INDIA — LMS / institute platforms</t>
        </is>
      </c>
      <c r="B5" s="5" t="inlineStr"/>
      <c r="C5" s="5" t="inlineStr"/>
      <c r="D5" s="5" t="inlineStr"/>
    </row>
    <row r="6">
      <c r="A6" s="28" t="inlineStr">
        <is>
          <t>Classplus</t>
        </is>
      </c>
      <c r="B6" s="6" t="inlineStr">
        <is>
          <t>₹3,000 – ₹15,000 / mo</t>
        </is>
      </c>
      <c r="C6" s="8" t="inlineStr">
        <is>
          <t>Plus setup ₹15k+ and a transaction commission; SMS/WhatsApp credits extra.</t>
        </is>
      </c>
      <c r="D6" s="31" t="inlineStr">
        <is>
          <t>edmingle.com, allcoaching.in (2026)</t>
        </is>
      </c>
    </row>
    <row r="7">
      <c r="A7" s="28" t="inlineStr">
        <is>
          <t>Teachmint</t>
        </is>
      </c>
      <c r="B7" s="6" t="inlineStr">
        <is>
          <t>₹2,500 – ₹1,25,000 / mo</t>
        </is>
      </c>
      <c r="C7" s="8" t="inlineStr">
        <is>
          <t>Free tier exists; setup ₹25k–₹2L reported at the top end.</t>
        </is>
      </c>
      <c r="D7" s="31" t="inlineStr">
        <is>
          <t>igniterapp.com, feealert.in (2026)</t>
        </is>
      </c>
    </row>
    <row r="8">
      <c r="A8" s="28" t="inlineStr">
        <is>
          <t>Learnyst / Edmingle</t>
        </is>
      </c>
      <c r="B8" s="6" t="inlineStr">
        <is>
          <t>Entry ₹8,000 – ₹50,000 / yr</t>
        </is>
      </c>
      <c r="C8" s="8" t="inlineStr">
        <is>
          <t>Entry-level annual plans for small institutes.</t>
        </is>
      </c>
      <c r="D8" s="31" t="inlineStr">
        <is>
          <t>edmingle.com (2026)</t>
        </is>
      </c>
    </row>
    <row r="9">
      <c r="A9" s="4" t="inlineStr">
        <is>
          <t>INDIA — education CRM</t>
        </is>
      </c>
      <c r="B9" s="5" t="inlineStr"/>
      <c r="C9" s="5" t="inlineStr"/>
      <c r="D9" s="5" t="inlineStr"/>
    </row>
    <row r="10">
      <c r="A10" s="28" t="inlineStr">
        <is>
          <t>LeadSquared</t>
        </is>
      </c>
      <c r="B10" s="6" t="inlineStr">
        <is>
          <t>₹1,250 – ₹4,500 / user / mo</t>
        </is>
      </c>
      <c r="C10" s="8" t="inlineStr">
        <is>
          <t>Lite / Pro / Super, billed annually, ex-GST. Education product is quoted.</t>
        </is>
      </c>
      <c r="D10" s="31" t="inlineStr">
        <is>
          <t>Published per-user plans (2026)</t>
        </is>
      </c>
    </row>
    <row r="11">
      <c r="A11" s="28" t="inlineStr">
        <is>
          <t>Meritto</t>
        </is>
      </c>
      <c r="B11" s="6" t="inlineStr">
        <is>
          <t>Priced on application volume</t>
        </is>
      </c>
      <c r="C11" s="8" t="inlineStr">
        <is>
          <t>Not per-seat — anchors on forms processed.</t>
        </is>
      </c>
      <c r="D11" s="31" t="inlineStr">
        <is>
          <t>softwaresuggest.com (2026)</t>
        </is>
      </c>
    </row>
    <row r="12">
      <c r="A12" s="28" t="inlineStr">
        <is>
          <t>Market norm</t>
        </is>
      </c>
      <c r="B12" s="6" t="inlineStr">
        <is>
          <t>₹2,000 – ₹5,000 / counsellor / mo</t>
        </is>
      </c>
      <c r="C12" s="8" t="inlineStr">
        <is>
          <t>Typical per-seat education CRM band.</t>
        </is>
      </c>
      <c r="D12" s="31" t="inlineStr">
        <is>
          <t>vivelead.com (2026)</t>
        </is>
      </c>
    </row>
    <row r="13">
      <c r="A13" s="4" t="inlineStr">
        <is>
          <t>INTERNATIONAL — LMS</t>
        </is>
      </c>
      <c r="B13" s="5" t="inlineStr"/>
      <c r="C13" s="5" t="inlineStr"/>
      <c r="D13" s="5" t="inlineStr"/>
    </row>
    <row r="14">
      <c r="A14" s="28" t="inlineStr">
        <is>
          <t>TalentLMS</t>
        </is>
      </c>
      <c r="B14" s="6" t="inlineStr">
        <is>
          <t>$119 / mo (40 users)</t>
        </is>
      </c>
      <c r="C14" s="8" t="inlineStr">
        <is>
          <t>Free tier to 5 users.</t>
        </is>
      </c>
      <c r="D14" s="31" t="inlineStr">
        <is>
          <t>talentlms.com (2026)</t>
        </is>
      </c>
    </row>
    <row r="15">
      <c r="A15" s="28" t="inlineStr">
        <is>
          <t>LearnWorlds</t>
        </is>
      </c>
      <c r="B15" s="6" t="inlineStr">
        <is>
          <t>$249 / mo and up for white-label</t>
        </is>
      </c>
      <c r="C15" s="8" t="inlineStr">
        <is>
          <t>White-label gated to the Learning Center plan.</t>
        </is>
      </c>
      <c r="D15" s="31" t="inlineStr">
        <is>
          <t>learnworlds.com (2026)</t>
        </is>
      </c>
    </row>
    <row r="16">
      <c r="A16" s="28" t="inlineStr">
        <is>
          <t>Docebo</t>
        </is>
      </c>
      <c r="B16" s="6" t="inlineStr">
        <is>
          <t>$10,000 – $100,000+ / yr</t>
        </is>
      </c>
      <c r="C16" s="8" t="inlineStr">
        <is>
          <t>Quote-only, mid-market to enterprise.</t>
        </is>
      </c>
      <c r="D16" s="31" t="inlineStr">
        <is>
          <t>selecthub.com (2026)</t>
        </is>
      </c>
    </row>
    <row r="17">
      <c r="A17" s="28" t="inlineStr">
        <is>
          <t>Multi-client training platforms</t>
        </is>
      </c>
      <c r="B17" s="6" t="inlineStr">
        <is>
          <t>£4,000 – £25,000 / yr</t>
        </is>
      </c>
      <c r="C17" s="8" t="inlineStr">
        <is>
          <t>Training company running several client portals.</t>
        </is>
      </c>
      <c r="D17" s="31" t="inlineStr">
        <is>
          <t>kourses.com (2026)</t>
        </is>
      </c>
    </row>
    <row r="18">
      <c r="A18" s="28" t="inlineStr">
        <is>
          <t>White-label add-on norm</t>
        </is>
      </c>
      <c r="B18" s="6" t="inlineStr">
        <is>
          <t>$150 – $300 / mo</t>
        </is>
      </c>
      <c r="C18" s="8" t="inlineStr">
        <is>
          <t>Full white-label tier; branded mobile app often +$150–200/mo.</t>
        </is>
      </c>
      <c r="D18" s="31" t="inlineStr">
        <is>
          <t>kourses.com (2026)</t>
        </is>
      </c>
    </row>
    <row r="19">
      <c r="A19" s="4" t="inlineStr">
        <is>
          <t>THE STACK A BUYER ACTUALLY REPLACES</t>
        </is>
      </c>
      <c r="B19" s="5" t="inlineStr"/>
      <c r="C19" s="5" t="inlineStr"/>
      <c r="D19" s="5" t="inlineStr"/>
    </row>
    <row r="20">
      <c r="A20" s="28" t="inlineStr">
        <is>
          <t>Small institute</t>
        </is>
      </c>
      <c r="B20" s="6" t="inlineStr">
        <is>
          <t>≈ ₹22,500 / mo</t>
        </is>
      </c>
      <c r="C20" s="8" t="inlineStr">
        <is>
          <t>Classplus at ₹15,000 + LeadSquared Pro × 3 seats at ₹2,500.</t>
        </is>
      </c>
      <c r="D20" s="31" t="inlineStr">
        <is>
          <t>Derived from the rows above</t>
        </is>
      </c>
    </row>
    <row r="21">
      <c r="A21" s="28" t="inlineStr">
        <is>
          <t>Growing institute</t>
        </is>
      </c>
      <c r="B21" s="6" t="inlineStr">
        <is>
          <t>≈ ₹51,000 / mo</t>
        </is>
      </c>
      <c r="C21" s="8" t="inlineStr">
        <is>
          <t>Classplus at ₹15,000 + LeadSquared Super × 8 seats at ₹4,500.</t>
        </is>
      </c>
      <c r="D21" s="31" t="inlineStr">
        <is>
          <t>Derived from the rows above</t>
        </is>
      </c>
    </row>
    <row r="22">
      <c r="A22" s="28" t="inlineStr">
        <is>
          <t>Multi-branch group</t>
        </is>
      </c>
      <c r="B22" s="6" t="inlineStr">
        <is>
          <t>≈ ₹2,15,000 / mo</t>
        </is>
      </c>
      <c r="C22" s="8" t="inlineStr">
        <is>
          <t>Teachmint at ₹1,25,000 + LeadSquared Super × 20 seats at ₹4,500.</t>
        </is>
      </c>
      <c r="D22" s="31" t="inlineStr">
        <is>
          <t>Derived from the rows above</t>
        </is>
      </c>
    </row>
    <row r="24" ht="42" customHeight="1">
      <c r="A24" s="15" t="inlineStr">
        <is>
          <t>Read across, not down: no vendor here sells LMS + institute CRM + placement + AI mocks as one product. The last block is the comparison a buyer actually makes — and it is the number our licence should be quoted against, not the Classplus line on its own.</t>
        </is>
      </c>
    </row>
  </sheetData>
  <mergeCells count="1"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What breaks the margin</t>
        </is>
      </c>
    </row>
    <row r="2">
      <c r="A2" s="2" t="inlineStr">
        <is>
          <t>Growth tier at the recommended India price. Two levers matter, and only two.</t>
        </is>
      </c>
    </row>
    <row r="4">
      <c r="A4" s="19" t="inlineStr">
        <is>
          <t>Lever 1 — voice minutes given away inside the licence</t>
        </is>
      </c>
    </row>
    <row r="5" ht="30" customHeight="1">
      <c r="A5" s="3" t="inlineStr">
        <is>
          <t>Included voice minutes / mo</t>
        </is>
      </c>
      <c r="B5" s="3" t="inlineStr">
        <is>
          <t>Included AI cost (USD)</t>
        </is>
      </c>
      <c r="C5" s="3" t="inlineStr">
        <is>
          <t>Total tenant cost (USD)</t>
        </is>
      </c>
      <c r="D5" s="3" t="inlineStr">
        <is>
          <t>Margin at ₹74,999</t>
        </is>
      </c>
    </row>
    <row r="6">
      <c r="A6" s="11" t="n">
        <v>0</v>
      </c>
      <c r="B6" s="23">
        <f>100*'Unit economics'!$C$16+A6*(Assumptions!$B$24+Assumptions!$B$25)</f>
        <v/>
      </c>
      <c r="C6" s="23">
        <f>'Tier economics'!$D$6+'Tier economics'!$E$6+B6</f>
        <v/>
      </c>
      <c r="D6" s="26">
        <f>IFERROR((('Tier economics'!$H$6/Assumptions!$B$6)-C6)/('Tier economics'!$H$6/Assumptions!$B$6),0)</f>
        <v/>
      </c>
    </row>
    <row r="7">
      <c r="A7" s="11" t="n">
        <v>400</v>
      </c>
      <c r="B7" s="23">
        <f>100*'Unit economics'!$C$16+A7*(Assumptions!$B$24+Assumptions!$B$25)</f>
        <v/>
      </c>
      <c r="C7" s="23">
        <f>'Tier economics'!$D$6+'Tier economics'!$E$6+B7</f>
        <v/>
      </c>
      <c r="D7" s="26">
        <f>IFERROR((('Tier economics'!$H$6/Assumptions!$B$6)-C7)/('Tier economics'!$H$6/Assumptions!$B$6),0)</f>
        <v/>
      </c>
    </row>
    <row r="8">
      <c r="A8" s="11" t="n">
        <v>1000</v>
      </c>
      <c r="B8" s="23">
        <f>100*'Unit economics'!$C$16+A8*(Assumptions!$B$24+Assumptions!$B$25)</f>
        <v/>
      </c>
      <c r="C8" s="23">
        <f>'Tier economics'!$D$6+'Tier economics'!$E$6+B8</f>
        <v/>
      </c>
      <c r="D8" s="26">
        <f>IFERROR((('Tier economics'!$H$6/Assumptions!$B$6)-C8)/('Tier economics'!$H$6/Assumptions!$B$6),0)</f>
        <v/>
      </c>
    </row>
    <row r="9">
      <c r="A9" s="11" t="n">
        <v>2500</v>
      </c>
      <c r="B9" s="23">
        <f>100*'Unit economics'!$C$16+A9*(Assumptions!$B$24+Assumptions!$B$25)</f>
        <v/>
      </c>
      <c r="C9" s="23">
        <f>'Tier economics'!$D$6+'Tier economics'!$E$6+B9</f>
        <v/>
      </c>
      <c r="D9" s="26">
        <f>IFERROR((('Tier economics'!$H$6/Assumptions!$B$6)-C9)/('Tier economics'!$H$6/Assumptions!$B$6),0)</f>
        <v/>
      </c>
    </row>
    <row r="10">
      <c r="A10" s="11" t="n">
        <v>5000</v>
      </c>
      <c r="B10" s="23">
        <f>100*'Unit economics'!$C$16+A10*(Assumptions!$B$24+Assumptions!$B$25)</f>
        <v/>
      </c>
      <c r="C10" s="23">
        <f>'Tier economics'!$D$6+'Tier economics'!$E$6+B10</f>
        <v/>
      </c>
      <c r="D10" s="26">
        <f>IFERROR((('Tier economics'!$H$6/Assumptions!$B$6)-C10)/('Tier economics'!$H$6/Assumptions!$B$6),0)</f>
        <v/>
      </c>
    </row>
    <row r="11">
      <c r="A11" s="11" t="n">
        <v>10000</v>
      </c>
      <c r="B11" s="23">
        <f>100*'Unit economics'!$C$16+A11*(Assumptions!$B$24+Assumptions!$B$25)</f>
        <v/>
      </c>
      <c r="C11" s="23">
        <f>'Tier economics'!$D$6+'Tier economics'!$E$6+B11</f>
        <v/>
      </c>
      <c r="D11" s="26">
        <f>IFERROR((('Tier economics'!$H$6/Assumptions!$B$6)-C11)/('Tier economics'!$H$6/Assumptions!$B$6),0)</f>
        <v/>
      </c>
    </row>
    <row r="13" ht="42" customHeight="1">
      <c r="A13" s="15" t="inlineStr">
        <is>
          <t>400 minutes is the recommended Growth allowance — about 27 mock interviews a month, enough for the partner to see the product work. Give away 2,500 and the tier is barely profitable; give away 5,000 and it is not. This is the single most expensive concession a salesperson can make, so it belongs in the order form, not in a conversation.</t>
        </is>
      </c>
    </row>
    <row r="15">
      <c r="A15" s="19" t="inlineStr">
        <is>
          <t>Lever 2 — how many enrolled seats are actually active</t>
        </is>
      </c>
    </row>
    <row r="16" ht="30" customHeight="1">
      <c r="A16" s="3" t="inlineStr">
        <is>
          <t>Monthly-active share</t>
        </is>
      </c>
      <c r="B16" s="3" t="inlineStr">
        <is>
          <t>Active seats</t>
        </is>
      </c>
      <c r="C16" s="3" t="inlineStr">
        <is>
          <t>Platform cost (USD)</t>
        </is>
      </c>
      <c r="D16" s="3" t="inlineStr">
        <is>
          <t>Total tenant cost (USD)</t>
        </is>
      </c>
      <c r="E16" s="3" t="inlineStr">
        <is>
          <t>Margin at ₹74,999</t>
        </is>
      </c>
    </row>
    <row r="17">
      <c r="A17" s="9" t="n">
        <v>0.4</v>
      </c>
      <c r="B17" s="22">
        <f>'Tier economics'!$B$6*A17</f>
        <v/>
      </c>
      <c r="C17" s="23">
        <f>B17*'Unit economics'!$C$10</f>
        <v/>
      </c>
      <c r="D17" s="23">
        <f>C17+'Tier economics'!$E$6+'Tier economics'!$F$6</f>
        <v/>
      </c>
      <c r="E17" s="26">
        <f>IFERROR((('Tier economics'!$H$6/Assumptions!$B$6)-D17)/('Tier economics'!$H$6/Assumptions!$B$6),0)</f>
        <v/>
      </c>
    </row>
    <row r="18">
      <c r="A18" s="9" t="n">
        <v>0.55</v>
      </c>
      <c r="B18" s="22">
        <f>'Tier economics'!$B$6*A18</f>
        <v/>
      </c>
      <c r="C18" s="23">
        <f>B18*'Unit economics'!$C$10</f>
        <v/>
      </c>
      <c r="D18" s="23">
        <f>C18+'Tier economics'!$E$6+'Tier economics'!$F$6</f>
        <v/>
      </c>
      <c r="E18" s="26">
        <f>IFERROR((('Tier economics'!$H$6/Assumptions!$B$6)-D18)/('Tier economics'!$H$6/Assumptions!$B$6),0)</f>
        <v/>
      </c>
    </row>
    <row r="19">
      <c r="A19" s="9" t="n">
        <v>0.65</v>
      </c>
      <c r="B19" s="22">
        <f>'Tier economics'!$B$6*A19</f>
        <v/>
      </c>
      <c r="C19" s="23">
        <f>B19*'Unit economics'!$C$10</f>
        <v/>
      </c>
      <c r="D19" s="23">
        <f>C19+'Tier economics'!$E$6+'Tier economics'!$F$6</f>
        <v/>
      </c>
      <c r="E19" s="26">
        <f>IFERROR((('Tier economics'!$H$6/Assumptions!$B$6)-D19)/('Tier economics'!$H$6/Assumptions!$B$6),0)</f>
        <v/>
      </c>
    </row>
    <row r="20">
      <c r="A20" s="9" t="n">
        <v>0.8</v>
      </c>
      <c r="B20" s="22">
        <f>'Tier economics'!$B$6*A20</f>
        <v/>
      </c>
      <c r="C20" s="23">
        <f>B20*'Unit economics'!$C$10</f>
        <v/>
      </c>
      <c r="D20" s="23">
        <f>C20+'Tier economics'!$E$6+'Tier economics'!$F$6</f>
        <v/>
      </c>
      <c r="E20" s="26">
        <f>IFERROR((('Tier economics'!$H$6/Assumptions!$B$6)-D20)/('Tier economics'!$H$6/Assumptions!$B$6),0)</f>
        <v/>
      </c>
    </row>
    <row r="21">
      <c r="A21" s="9" t="n">
        <v>1</v>
      </c>
      <c r="B21" s="22">
        <f>'Tier economics'!$B$6*A21</f>
        <v/>
      </c>
      <c r="C21" s="23">
        <f>B21*'Unit economics'!$C$10</f>
        <v/>
      </c>
      <c r="D21" s="23">
        <f>C21+'Tier economics'!$E$6+'Tier economics'!$F$6</f>
        <v/>
      </c>
      <c r="E21" s="26">
        <f>IFERROR((('Tier economics'!$H$6/Assumptions!$B$6)-D21)/('Tier economics'!$H$6/Assumptions!$B$6),0)</f>
        <v/>
      </c>
    </row>
    <row r="23" ht="28" customHeight="1">
      <c r="A23" s="15" t="inlineStr">
        <is>
          <t>Platform cost barely moves with utilisation — even at 100% active the margin holds. That is the shape of a software business, and it is the reason seats can be sold generously while minutes cannot.</t>
        </is>
      </c>
    </row>
  </sheetData>
  <mergeCells count="2">
    <mergeCell ref="A23:E2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2026-08-31T09:19:20Z</dcterms:created>
  <dcterms:modified xsi:type="dcterms:W3CDTF">2026-08-31T09:19:20Z</dcterms:modified>
</cp:coreProperties>
</file>